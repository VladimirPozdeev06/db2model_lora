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Главное" sheetId="1" state="visible" r:id="rId3"/>
    <sheet name="Прирост" sheetId="2" state="visible" r:id="rId4"/>
    <sheet name="Сиды" sheetId="3" state="visible" r:id="rId5"/>
    <sheet name="По сложности" sheetId="4" state="visible" r:id="rId6"/>
    <sheet name="Кривая объёма" sheetId="5" state="visible" r:id="rId7"/>
    <sheet name="Утечка" sheetId="6" state="visible" r:id="rId8"/>
    <sheet name="Цена запроса" sheetId="7" state="visible" r:id="rId9"/>
    <sheet name="Прочее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<sst xmlns="http://schemas.openxmlformats.org/spreadsheetml/2006/main" count="118" uniqueCount="72">
  <si>
    <t xml:space="preserve">Арм</t>
  </si>
  <si>
    <t xml:space="preserve">Модель</t>
  </si>
  <si>
    <t xml:space="preserve">Схема в запросе</t>
  </si>
  <si>
    <t xml:space="preserve">EX, %</t>
  </si>
  <si>
    <t xml:space="preserve">± σ</t>
  </si>
  <si>
    <t xml:space="preserve">VES</t>
  </si>
  <si>
    <t xml:space="preserve">Prompt-токенов</t>
  </si>
  <si>
    <t xml:space="preserve">Прогонов</t>
  </si>
  <si>
    <t xml:space="preserve">zeroshot (контроль)</t>
  </si>
  <si>
    <t xml:space="preserve">3B</t>
  </si>
  <si>
    <t xml:space="preserve">нет</t>
  </si>
  <si>
    <t xml:space="preserve">baseline</t>
  </si>
  <si>
    <t xml:space="preserve">да</t>
  </si>
  <si>
    <t xml:space="preserve">мультизадачный (ROUTE)</t>
  </si>
  <si>
    <t xml:space="preserve">lora — победитель</t>
  </si>
  <si>
    <t xml:space="preserve">7B</t>
  </si>
  <si>
    <t xml:space="preserve">reasoning (Think2SQL)</t>
  </si>
  <si>
    <t xml:space="preserve">Схема в запросе, EX %</t>
  </si>
  <si>
    <t xml:space="preserve">База выучена, EX %</t>
  </si>
  <si>
    <t xml:space="preserve">Δ, п.п.</t>
  </si>
  <si>
    <t xml:space="preserve">σ</t>
  </si>
  <si>
    <t xml:space="preserve">Разрыв, σ</t>
  </si>
  <si>
    <t xml:space="preserve">Прогон 0</t>
  </si>
  <si>
    <t xml:space="preserve">Прогон 1</t>
  </si>
  <si>
    <t xml:space="preserve">Прогон 2</t>
  </si>
  <si>
    <t xml:space="preserve">Среднее</t>
  </si>
  <si>
    <t xml:space="preserve">lora (1096 пар)</t>
  </si>
  <si>
    <t xml:space="preserve">lora (1171 пара)</t>
  </si>
  <si>
    <t xml:space="preserve">Простые, %</t>
  </si>
  <si>
    <t xml:space="preserve">Средние, %</t>
  </si>
  <si>
    <t xml:space="preserve">Сложные, %</t>
  </si>
  <si>
    <t xml:space="preserve">Вариант</t>
  </si>
  <si>
    <t xml:space="preserve">Примеров</t>
  </si>
  <si>
    <t xml:space="preserve">± σ (VES)</t>
  </si>
  <si>
    <t xml:space="preserve">synth_50</t>
  </si>
  <si>
    <t xml:space="preserve">synth_143</t>
  </si>
  <si>
    <t xml:space="preserve">synth_347</t>
  </si>
  <si>
    <t xml:space="preserve">unfiltered_347 (без фильтра)</t>
  </si>
  <si>
    <t xml:space="preserve">real_143 (живые пары)</t>
  </si>
  <si>
    <t xml:space="preserve">synth_1171</t>
  </si>
  <si>
    <t xml:space="preserve">EX на 91 вопросе, %</t>
  </si>
  <si>
    <t xml:space="preserve">EX на 89 без утечки, %</t>
  </si>
  <si>
    <t xml:space="preserve">lora (1171, 3 прогона)</t>
  </si>
  <si>
    <t xml:space="preserve">Δ lora − baseline, п.п.</t>
  </si>
  <si>
    <t xml:space="preserve">Показатель</t>
  </si>
  <si>
    <t xml:space="preserve">База выучена</t>
  </si>
  <si>
    <t xml:space="preserve">Во сколько раз лучше</t>
  </si>
  <si>
    <t xml:space="preserve">Латентность, с (медиана)</t>
  </si>
  <si>
    <t xml:space="preserve">Значение</t>
  </si>
  <si>
    <t xml:space="preserve">Брак учителя Qwen-7B, %</t>
  </si>
  <si>
    <t xml:space="preserve">30–37</t>
  </si>
  <si>
    <t xml:space="preserve">Брак учителя Qwen3.6-27B, %</t>
  </si>
  <si>
    <t xml:space="preserve">9–19</t>
  </si>
  <si>
    <t xml:space="preserve">Запросов к несуществующим колонкам: reasoning 7B</t>
  </si>
  <si>
    <t xml:space="preserve">34 из 91</t>
  </si>
  <si>
    <t xml:space="preserve">Запросов к несуществующим колонкам: lora 7B</t>
  </si>
  <si>
    <t xml:space="preserve">16 из 91</t>
  </si>
  <si>
    <t xml:space="preserve">Запросов к несуществующим колонкам: baseline 7B</t>
  </si>
  <si>
    <t xml:space="preserve">23 из 91</t>
  </si>
  <si>
    <t xml:space="preserve">MCP smoke-тест: lora без схемы</t>
  </si>
  <si>
    <t xml:space="preserve">3 из 3</t>
  </si>
  <si>
    <t xml:space="preserve">MCP smoke-тест: baseline со схемой</t>
  </si>
  <si>
    <t xml:space="preserve">2 из 3</t>
  </si>
  <si>
    <t xml:space="preserve">Утечка train→eval на данных победителя</t>
  </si>
  <si>
    <t xml:space="preserve">0</t>
  </si>
  <si>
    <t xml:space="preserve">Планы EXPLAIN собраны</t>
  </si>
  <si>
    <t xml:space="preserve">234 из 234</t>
  </si>
  <si>
    <t xml:space="preserve">Join-связок: financial</t>
  </si>
  <si>
    <t xml:space="preserve">Join-связок: codebase_community</t>
  </si>
  <si>
    <t xml:space="preserve">Join-связок: toxicology</t>
  </si>
  <si>
    <t xml:space="preserve">Вопросов в split</t>
  </si>
  <si>
    <t xml:space="preserve">Баз в split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</si>
</sst>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s">
        <v>10</v>
      </c>
      <c r="D2" s="4" t="n">
        <v>5.49</v>
      </c>
      <c r="E2" s="4"/>
      <c r="F2" s="4" t="n">
        <v>6.76</v>
      </c>
      <c r="G2" s="3" t="n">
        <v>90</v>
      </c>
      <c r="H2" s="3" t="n">
        <v>1</v>
      </c>
    </row>
    <row r="3" customFormat="false" ht="15" hidden="false" customHeight="false" outlineLevel="0" collapsed="false">
      <c r="A3" s="2" t="s">
        <v>11</v>
      </c>
      <c r="B3" s="3" t="s">
        <v>9</v>
      </c>
      <c r="C3" s="3" t="s">
        <v>12</v>
      </c>
      <c r="D3" s="4" t="n">
        <v>24.18</v>
      </c>
      <c r="E3" s="4"/>
      <c r="F3" s="4" t="n">
        <v>24.51</v>
      </c>
      <c r="G3" s="3" t="n">
        <v>288</v>
      </c>
      <c r="H3" s="3" t="n">
        <v>1</v>
      </c>
    </row>
    <row r="4" customFormat="false" ht="15" hidden="false" customHeight="false" outlineLevel="0" collapsed="false">
      <c r="A4" s="2" t="s">
        <v>13</v>
      </c>
      <c r="B4" s="3" t="s">
        <v>9</v>
      </c>
      <c r="C4" s="3" t="s">
        <v>10</v>
      </c>
      <c r="D4" s="4" t="n">
        <v>28.57</v>
      </c>
      <c r="E4" s="4"/>
      <c r="F4" s="4" t="n">
        <v>29.24</v>
      </c>
      <c r="G4" s="3" t="n">
        <v>90</v>
      </c>
      <c r="H4" s="3" t="n">
        <v>1</v>
      </c>
    </row>
    <row r="5" customFormat="false" ht="15" hidden="false" customHeight="false" outlineLevel="0" collapsed="false">
      <c r="A5" s="5" t="s">
        <v>14</v>
      </c>
      <c r="B5" s="6" t="s">
        <v>9</v>
      </c>
      <c r="C5" s="6" t="s">
        <v>10</v>
      </c>
      <c r="D5" s="7" t="n">
        <v>30.77</v>
      </c>
      <c r="E5" s="8" t="n">
        <v>1.55</v>
      </c>
      <c r="F5" s="7" t="n">
        <v>31.1</v>
      </c>
      <c r="G5" s="9" t="n">
        <v>90</v>
      </c>
      <c r="H5" s="6" t="n">
        <v>3</v>
      </c>
    </row>
    <row r="6" customFormat="false" ht="15" hidden="false" customHeight="false" outlineLevel="0" collapsed="false">
      <c r="A6" s="2" t="s">
        <v>11</v>
      </c>
      <c r="B6" s="3" t="s">
        <v>15</v>
      </c>
      <c r="C6" s="3" t="s">
        <v>12</v>
      </c>
      <c r="D6" s="4" t="n">
        <v>30.77</v>
      </c>
      <c r="E6" s="4"/>
      <c r="F6" s="4" t="n">
        <v>30.55</v>
      </c>
      <c r="G6" s="3" t="n">
        <v>288</v>
      </c>
      <c r="H6" s="3" t="n">
        <v>1</v>
      </c>
    </row>
    <row r="7" customFormat="false" ht="15" hidden="false" customHeight="false" outlineLevel="0" collapsed="false">
      <c r="A7" s="2" t="s">
        <v>16</v>
      </c>
      <c r="B7" s="3" t="s">
        <v>15</v>
      </c>
      <c r="C7" s="3" t="s">
        <v>10</v>
      </c>
      <c r="D7" s="4" t="n">
        <v>30.77</v>
      </c>
      <c r="E7" s="4"/>
      <c r="F7" s="4" t="n">
        <v>29.51</v>
      </c>
      <c r="G7" s="3" t="n">
        <v>90</v>
      </c>
      <c r="H7" s="3" t="n">
        <v>1</v>
      </c>
    </row>
    <row r="8" customFormat="false" ht="15" hidden="false" customHeight="false" outlineLevel="0" collapsed="false">
      <c r="A8" s="5" t="s">
        <v>14</v>
      </c>
      <c r="B8" s="6" t="s">
        <v>15</v>
      </c>
      <c r="C8" s="6" t="s">
        <v>10</v>
      </c>
      <c r="D8" s="7" t="n">
        <v>41.03</v>
      </c>
      <c r="E8" s="8" t="n">
        <v>1.37</v>
      </c>
      <c r="F8" s="7" t="n">
        <v>41.01</v>
      </c>
      <c r="G8" s="9" t="n">
        <v>90</v>
      </c>
      <c r="H8" s="6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1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customFormat="false" ht="15" hidden="false" customHeight="false" outlineLevel="0" collapsed="false">
      <c r="A2" s="2" t="s">
        <v>9</v>
      </c>
      <c r="B2" s="4" t="n">
        <v>24.18</v>
      </c>
      <c r="C2" s="7" t="n">
        <v>30.77</v>
      </c>
      <c r="D2" s="7" t="n">
        <f aca="false">C2-B2</f>
        <v>6.59</v>
      </c>
      <c r="E2" s="4" t="n">
        <v>1.55</v>
      </c>
      <c r="F2" s="10" t="n">
        <f aca="false">D2/E2</f>
        <v>4.25161290322581</v>
      </c>
    </row>
    <row r="3" customFormat="false" ht="15" hidden="false" customHeight="false" outlineLevel="0" collapsed="false">
      <c r="A3" s="2" t="s">
        <v>15</v>
      </c>
      <c r="B3" s="4" t="n">
        <v>30.77</v>
      </c>
      <c r="C3" s="7" t="n">
        <v>41.03</v>
      </c>
      <c r="D3" s="7" t="n">
        <f aca="false">C3-B3</f>
        <v>10.26</v>
      </c>
      <c r="E3" s="4" t="n">
        <v>1.37</v>
      </c>
      <c r="F3" s="10" t="n">
        <f aca="false">D3/E3</f>
        <v>7.48905109489051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6" min="3" style="0" width="11"/>
    <col collapsed="false" customWidth="true" hidden="false" outlineLevel="0" max="7" min="7" style="0" width="9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20</v>
      </c>
    </row>
    <row r="2" customFormat="false" ht="15" hidden="false" customHeight="false" outlineLevel="0" collapsed="false">
      <c r="A2" s="2" t="s">
        <v>26</v>
      </c>
      <c r="B2" s="3" t="s">
        <v>9</v>
      </c>
      <c r="C2" s="4" t="n">
        <v>31.87</v>
      </c>
      <c r="D2" s="4" t="n">
        <v>28.57</v>
      </c>
      <c r="E2" s="4" t="n">
        <v>31.87</v>
      </c>
      <c r="F2" s="7" t="n">
        <f aca="false">AVERAGE(C2:E2)</f>
        <v>30.77</v>
      </c>
      <c r="G2" s="4" t="n">
        <f aca="false">STDEVP(C2:E2)</f>
        <v>1.55563491861041</v>
      </c>
    </row>
    <row r="3" customFormat="false" ht="15" hidden="false" customHeight="false" outlineLevel="0" collapsed="false">
      <c r="A3" s="5" t="s">
        <v>26</v>
      </c>
      <c r="B3" s="6" t="s">
        <v>15</v>
      </c>
      <c r="C3" s="8" t="n">
        <v>40.66</v>
      </c>
      <c r="D3" s="8" t="n">
        <v>42.86</v>
      </c>
      <c r="E3" s="8" t="n">
        <v>39.56</v>
      </c>
      <c r="F3" s="7" t="n">
        <f aca="false">AVERAGE(C3:E3)</f>
        <v>41.0266666666667</v>
      </c>
      <c r="G3" s="8" t="n">
        <f aca="false">STDEVP(C3:E3)</f>
        <v>1.37194104181711</v>
      </c>
    </row>
    <row r="4" customFormat="false" ht="15" hidden="false" customHeight="false" outlineLevel="0" collapsed="false">
      <c r="A4" s="2" t="s">
        <v>27</v>
      </c>
      <c r="B4" s="3" t="s">
        <v>9</v>
      </c>
      <c r="C4" s="4" t="n">
        <v>27.47</v>
      </c>
      <c r="D4" s="4" t="n">
        <v>27.47</v>
      </c>
      <c r="E4" s="4" t="n">
        <v>28.57</v>
      </c>
      <c r="F4" s="4" t="n">
        <f aca="false">AVERAGE(C4:E4)</f>
        <v>27.8366666666667</v>
      </c>
      <c r="G4" s="4" t="n">
        <f aca="false">STDEVP(C4:E4)</f>
        <v>0.518544972870136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5" min="3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28</v>
      </c>
      <c r="D1" s="1" t="s">
        <v>29</v>
      </c>
      <c r="E1" s="1" t="s">
        <v>30</v>
      </c>
    </row>
    <row r="2" customFormat="false" ht="15" hidden="false" customHeight="false" outlineLevel="0" collapsed="false">
      <c r="A2" s="2" t="s">
        <v>8</v>
      </c>
      <c r="B2" s="3" t="s">
        <v>9</v>
      </c>
      <c r="C2" s="11" t="n">
        <v>11.4</v>
      </c>
      <c r="D2" s="11" t="n">
        <v>3</v>
      </c>
      <c r="E2" s="11" t="n">
        <v>0</v>
      </c>
    </row>
    <row r="3" customFormat="false" ht="15" hidden="false" customHeight="false" outlineLevel="0" collapsed="false">
      <c r="A3" s="2" t="s">
        <v>11</v>
      </c>
      <c r="B3" s="3" t="s">
        <v>9</v>
      </c>
      <c r="C3" s="11" t="n">
        <v>28.6</v>
      </c>
      <c r="D3" s="11" t="n">
        <v>24.2</v>
      </c>
      <c r="E3" s="11" t="n">
        <v>17.4</v>
      </c>
    </row>
    <row r="4" customFormat="false" ht="15" hidden="false" customHeight="false" outlineLevel="0" collapsed="false">
      <c r="A4" s="2" t="s">
        <v>13</v>
      </c>
      <c r="B4" s="3" t="s">
        <v>9</v>
      </c>
      <c r="C4" s="11" t="n">
        <v>40</v>
      </c>
      <c r="D4" s="11" t="n">
        <v>18.2</v>
      </c>
      <c r="E4" s="10" t="n">
        <v>26.1</v>
      </c>
    </row>
    <row r="5" customFormat="false" ht="15" hidden="false" customHeight="false" outlineLevel="0" collapsed="false">
      <c r="A5" s="2" t="s">
        <v>11</v>
      </c>
      <c r="B5" s="3" t="s">
        <v>15</v>
      </c>
      <c r="C5" s="11" t="n">
        <v>45.7</v>
      </c>
      <c r="D5" s="11" t="n">
        <v>21.2</v>
      </c>
      <c r="E5" s="11" t="n">
        <v>21.7</v>
      </c>
    </row>
    <row r="6" customFormat="false" ht="15" hidden="false" customHeight="false" outlineLevel="0" collapsed="false">
      <c r="A6" s="2" t="s">
        <v>16</v>
      </c>
      <c r="B6" s="3" t="s">
        <v>15</v>
      </c>
      <c r="C6" s="11" t="n">
        <v>48.6</v>
      </c>
      <c r="D6" s="11" t="n">
        <v>21.2</v>
      </c>
      <c r="E6" s="11" t="n">
        <v>17.4</v>
      </c>
    </row>
    <row r="7" customFormat="false" ht="15" hidden="false" customHeight="false" outlineLevel="0" collapsed="false">
      <c r="A7" s="5" t="s">
        <v>14</v>
      </c>
      <c r="B7" s="6" t="s">
        <v>15</v>
      </c>
      <c r="C7" s="10" t="n">
        <v>64.8</v>
      </c>
      <c r="D7" s="10" t="n">
        <v>32.3</v>
      </c>
      <c r="E7" s="12" t="n">
        <v>17.4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31</v>
      </c>
      <c r="B1" s="1" t="s">
        <v>32</v>
      </c>
      <c r="C1" s="1" t="s">
        <v>3</v>
      </c>
      <c r="D1" s="1" t="s">
        <v>4</v>
      </c>
      <c r="E1" s="1" t="s">
        <v>5</v>
      </c>
      <c r="F1" s="1" t="s">
        <v>33</v>
      </c>
      <c r="G1" s="1" t="s">
        <v>7</v>
      </c>
    </row>
    <row r="2" customFormat="false" ht="15" hidden="false" customHeight="false" outlineLevel="0" collapsed="false">
      <c r="A2" s="2" t="s">
        <v>34</v>
      </c>
      <c r="B2" s="3" t="n">
        <v>50</v>
      </c>
      <c r="C2" s="4" t="n">
        <v>9.89</v>
      </c>
      <c r="D2" s="4"/>
      <c r="E2" s="4" t="n">
        <v>10.18</v>
      </c>
      <c r="F2" s="4"/>
      <c r="G2" s="3" t="n">
        <v>1</v>
      </c>
    </row>
    <row r="3" customFormat="false" ht="15" hidden="false" customHeight="false" outlineLevel="0" collapsed="false">
      <c r="A3" s="2" t="s">
        <v>35</v>
      </c>
      <c r="B3" s="3" t="n">
        <v>143</v>
      </c>
      <c r="C3" s="4" t="n">
        <v>10.99</v>
      </c>
      <c r="D3" s="4"/>
      <c r="E3" s="4" t="n">
        <v>11.22</v>
      </c>
      <c r="F3" s="4"/>
      <c r="G3" s="3" t="n">
        <v>1</v>
      </c>
    </row>
    <row r="4" customFormat="false" ht="15" hidden="false" customHeight="false" outlineLevel="0" collapsed="false">
      <c r="A4" s="2" t="s">
        <v>36</v>
      </c>
      <c r="B4" s="3" t="n">
        <v>347</v>
      </c>
      <c r="C4" s="4" t="n">
        <v>16.85</v>
      </c>
      <c r="D4" s="4" t="n">
        <v>1.37</v>
      </c>
      <c r="E4" s="4" t="n">
        <v>17.08</v>
      </c>
      <c r="F4" s="4" t="n">
        <v>1.52</v>
      </c>
      <c r="G4" s="3" t="n">
        <v>3</v>
      </c>
    </row>
    <row r="5" customFormat="false" ht="15" hidden="false" customHeight="false" outlineLevel="0" collapsed="false">
      <c r="A5" s="2" t="s">
        <v>37</v>
      </c>
      <c r="B5" s="3" t="n">
        <v>347</v>
      </c>
      <c r="C5" s="4" t="n">
        <v>15.38</v>
      </c>
      <c r="D5" s="4"/>
      <c r="E5" s="4" t="n">
        <v>15.09</v>
      </c>
      <c r="F5" s="4"/>
      <c r="G5" s="3" t="n">
        <v>1</v>
      </c>
    </row>
    <row r="6" customFormat="false" ht="15" hidden="false" customHeight="false" outlineLevel="0" collapsed="false">
      <c r="A6" s="2" t="s">
        <v>38</v>
      </c>
      <c r="B6" s="3" t="n">
        <v>143</v>
      </c>
      <c r="C6" s="4" t="n">
        <v>13.19</v>
      </c>
      <c r="D6" s="4"/>
      <c r="E6" s="4" t="n">
        <v>13.87</v>
      </c>
      <c r="F6" s="4"/>
      <c r="G6" s="3" t="n">
        <v>1</v>
      </c>
    </row>
    <row r="7" customFormat="false" ht="15" hidden="false" customHeight="false" outlineLevel="0" collapsed="false">
      <c r="A7" s="5" t="s">
        <v>39</v>
      </c>
      <c r="B7" s="6" t="n">
        <v>1171</v>
      </c>
      <c r="C7" s="7" t="n">
        <v>27.84</v>
      </c>
      <c r="D7" s="8" t="n">
        <v>0.52</v>
      </c>
      <c r="E7" s="7" t="n">
        <v>27.76</v>
      </c>
      <c r="F7" s="8" t="n">
        <v>0.11</v>
      </c>
      <c r="G7" s="6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2"/>
  </cols>
  <sheetData>
    <row r="1" customFormat="false" ht="30" hidden="false" customHeight="true" outlineLevel="0" collapsed="false">
      <c r="A1" s="1" t="s">
        <v>0</v>
      </c>
      <c r="B1" s="1" t="s">
        <v>40</v>
      </c>
      <c r="C1" s="1" t="s">
        <v>41</v>
      </c>
    </row>
    <row r="2" customFormat="false" ht="15" hidden="false" customHeight="false" outlineLevel="0" collapsed="false">
      <c r="A2" s="2" t="s">
        <v>8</v>
      </c>
      <c r="B2" s="4" t="n">
        <v>5.49</v>
      </c>
      <c r="C2" s="4" t="n">
        <v>5.62</v>
      </c>
    </row>
    <row r="3" customFormat="false" ht="15" hidden="false" customHeight="false" outlineLevel="0" collapsed="false">
      <c r="A3" s="2" t="s">
        <v>11</v>
      </c>
      <c r="B3" s="4" t="n">
        <v>23.08</v>
      </c>
      <c r="C3" s="4" t="n">
        <v>22.47</v>
      </c>
    </row>
    <row r="4" customFormat="false" ht="15" hidden="false" customHeight="false" outlineLevel="0" collapsed="false">
      <c r="A4" s="2" t="s">
        <v>42</v>
      </c>
      <c r="B4" s="7" t="n">
        <v>27.84</v>
      </c>
      <c r="C4" s="7" t="n">
        <v>28.09</v>
      </c>
    </row>
    <row r="5" customFormat="false" ht="15" hidden="false" customHeight="false" outlineLevel="0" collapsed="false">
      <c r="A5" s="5" t="s">
        <v>43</v>
      </c>
      <c r="B5" s="7" t="n">
        <f aca="false">B4-B3</f>
        <v>4.76</v>
      </c>
      <c r="C5" s="7" t="n">
        <f aca="false">C4-C3</f>
        <v>5.62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20"/>
  </cols>
  <sheetData>
    <row r="1" customFormat="false" ht="30" hidden="false" customHeight="true" outlineLevel="0" collapsed="false">
      <c r="A1" s="1" t="s">
        <v>44</v>
      </c>
      <c r="B1" s="1" t="s">
        <v>2</v>
      </c>
      <c r="C1" s="1" t="s">
        <v>45</v>
      </c>
      <c r="D1" s="1" t="s">
        <v>46</v>
      </c>
    </row>
    <row r="2" customFormat="false" ht="15" hidden="false" customHeight="false" outlineLevel="0" collapsed="false">
      <c r="A2" s="2" t="s">
        <v>6</v>
      </c>
      <c r="B2" s="4" t="n">
        <v>288</v>
      </c>
      <c r="C2" s="7" t="n">
        <v>90</v>
      </c>
      <c r="D2" s="7" t="n">
        <f aca="false">B2/C2</f>
        <v>3.2</v>
      </c>
    </row>
    <row r="3" customFormat="false" ht="15" hidden="false" customHeight="false" outlineLevel="0" collapsed="false">
      <c r="A3" s="2" t="s">
        <v>47</v>
      </c>
      <c r="B3" s="4" t="n">
        <v>5.31</v>
      </c>
      <c r="C3" s="7" t="n">
        <v>3.69</v>
      </c>
      <c r="D3" s="7" t="n">
        <f aca="false">B3/C3</f>
        <v>1.4390243902439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44</v>
      </c>
      <c r="B1" s="1" t="s">
        <v>48</v>
      </c>
    </row>
    <row r="2" customFormat="false" ht="15" hidden="false" customHeight="false" outlineLevel="0" collapsed="false">
      <c r="A2" s="2" t="s">
        <v>49</v>
      </c>
      <c r="B2" s="3" t="s">
        <v>50</v>
      </c>
    </row>
    <row r="3" customFormat="false" ht="15" hidden="false" customHeight="false" outlineLevel="0" collapsed="false">
      <c r="A3" s="2" t="s">
        <v>51</v>
      </c>
      <c r="B3" s="9" t="s">
        <v>52</v>
      </c>
    </row>
    <row r="4" customFormat="false" ht="15" hidden="false" customHeight="false" outlineLevel="0" collapsed="false">
      <c r="A4" s="2" t="s">
        <v>53</v>
      </c>
      <c r="B4" s="3" t="s">
        <v>54</v>
      </c>
    </row>
    <row r="5" customFormat="false" ht="15" hidden="false" customHeight="false" outlineLevel="0" collapsed="false">
      <c r="A5" s="2" t="s">
        <v>55</v>
      </c>
      <c r="B5" s="9" t="s">
        <v>56</v>
      </c>
    </row>
    <row r="6" customFormat="false" ht="15" hidden="false" customHeight="false" outlineLevel="0" collapsed="false">
      <c r="A6" s="2" t="s">
        <v>57</v>
      </c>
      <c r="B6" s="3" t="s">
        <v>58</v>
      </c>
    </row>
    <row r="7" customFormat="false" ht="15" hidden="false" customHeight="false" outlineLevel="0" collapsed="false">
      <c r="A7" s="2" t="s">
        <v>59</v>
      </c>
      <c r="B7" s="9" t="s">
        <v>60</v>
      </c>
    </row>
    <row r="8" customFormat="false" ht="15" hidden="false" customHeight="false" outlineLevel="0" collapsed="false">
      <c r="A8" s="2" t="s">
        <v>61</v>
      </c>
      <c r="B8" s="3" t="s">
        <v>62</v>
      </c>
    </row>
    <row r="9" customFormat="false" ht="15" hidden="false" customHeight="false" outlineLevel="0" collapsed="false">
      <c r="A9" s="2" t="s">
        <v>63</v>
      </c>
      <c r="B9" s="9" t="s">
        <v>64</v>
      </c>
    </row>
    <row r="10" customFormat="false" ht="15" hidden="false" customHeight="false" outlineLevel="0" collapsed="false">
      <c r="A10" s="2" t="s">
        <v>65</v>
      </c>
      <c r="B10" s="9" t="s">
        <v>66</v>
      </c>
    </row>
    <row r="11" customFormat="false" ht="15" hidden="false" customHeight="false" outlineLevel="0" collapsed="false">
      <c r="A11" s="2" t="s">
        <v>67</v>
      </c>
      <c r="B11" s="3" t="n">
        <v>21</v>
      </c>
    </row>
    <row r="12" customFormat="false" ht="15" hidden="false" customHeight="false" outlineLevel="0" collapsed="false">
      <c r="A12" s="2" t="s">
        <v>68</v>
      </c>
      <c r="B12" s="3" t="n">
        <v>14</v>
      </c>
    </row>
    <row r="13" customFormat="false" ht="15" hidden="false" customHeight="false" outlineLevel="0" collapsed="false">
      <c r="A13" s="2" t="s">
        <v>69</v>
      </c>
      <c r="B13" s="3" t="n">
        <v>6</v>
      </c>
    </row>
    <row r="14" customFormat="false" ht="15" hidden="false" customHeight="false" outlineLevel="0" collapsed="false">
      <c r="A14" s="2" t="s">
        <v>70</v>
      </c>
      <c r="B14" s="3" t="n">
        <v>91</v>
      </c>
    </row>
    <row r="15" customFormat="false" ht="15" hidden="false" customHeight="false" outlineLevel="0" collapsed="false">
      <c r="A15" s="2" t="s">
        <v>71</v>
      </c>
      <c r="B15" s="3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2026-08-17T14:31:49Z</dcterms:created>
  <dc:creator>openpyxl</dc:creator>
  <dc:description/>
  <dc:language>ru-RU</dc:language>
  <cp:lastModifiedBy/>
  <dcterms:modified xsi:type="dcterms:W3CDTF">2026-08-17T14:31:49Z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